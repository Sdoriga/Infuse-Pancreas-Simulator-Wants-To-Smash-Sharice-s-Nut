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works\doc\"/>
    </mc:Choice>
  </mc:AlternateContent>
  <bookViews>
    <workbookView xWindow="0" yWindow="0" windowWidth="26115" windowHeight="10155"/>
  </bookViews>
  <sheets>
    <sheet name="Mai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H21" i="1"/>
  <c r="B8" i="1"/>
  <c r="E8" i="1"/>
  <c r="L24" i="1"/>
  <c r="L26" i="1" s="1"/>
  <c r="B18" i="1"/>
  <c r="H18" i="1"/>
  <c r="E18" i="1"/>
  <c r="L8" i="1"/>
  <c r="J14" i="1"/>
  <c r="J12" i="1"/>
  <c r="F14" i="1"/>
  <c r="F12" i="1"/>
  <c r="B14" i="1" l="1"/>
  <c r="H20" i="1" l="1"/>
  <c r="H22" i="1"/>
  <c r="H26" i="1" l="1"/>
  <c r="H24" i="1"/>
  <c r="B12" i="1"/>
  <c r="H8" i="1"/>
</calcChain>
</file>

<file path=xl/sharedStrings.xml><?xml version="1.0" encoding="utf-8"?>
<sst xmlns="http://schemas.openxmlformats.org/spreadsheetml/2006/main" count="59" uniqueCount="59">
  <si>
    <t>샤리스 SR</t>
    <phoneticPr fontId="1" type="noConversion"/>
  </si>
  <si>
    <t>샤리스 R</t>
    <phoneticPr fontId="1" type="noConversion"/>
  </si>
  <si>
    <t>0.05라인</t>
    <phoneticPr fontId="1" type="noConversion"/>
  </si>
  <si>
    <t>0.25라인</t>
    <phoneticPr fontId="1" type="noConversion"/>
  </si>
  <si>
    <t>0.5라인</t>
    <phoneticPr fontId="1" type="noConversion"/>
  </si>
  <si>
    <t>만상 10연차로 샤리스 쳐먹을확률</t>
    <phoneticPr fontId="1" type="noConversion"/>
  </si>
  <si>
    <t>SR전체확률</t>
    <phoneticPr fontId="1" type="noConversion"/>
  </si>
  <si>
    <t>SR중 0.05 뽑을확률</t>
    <phoneticPr fontId="1" type="noConversion"/>
  </si>
  <si>
    <t>이벤트 샤리스 SR</t>
    <phoneticPr fontId="1" type="noConversion"/>
  </si>
  <si>
    <t>이벤트 샤리스 R</t>
    <phoneticPr fontId="1" type="noConversion"/>
  </si>
  <si>
    <t>이벤트 0.03라인</t>
    <phoneticPr fontId="1" type="noConversion"/>
  </si>
  <si>
    <t>이벤트 0.15라인</t>
    <phoneticPr fontId="1" type="noConversion"/>
  </si>
  <si>
    <t>이벤트 0.3라인</t>
    <phoneticPr fontId="1" type="noConversion"/>
  </si>
  <si>
    <t>SR이상 확업 총합</t>
    <phoneticPr fontId="1" type="noConversion"/>
  </si>
  <si>
    <t>이벤트 SR 전체 확률</t>
    <phoneticPr fontId="1" type="noConversion"/>
  </si>
  <si>
    <t>이벤트 10연차로 샤리스 쳐먹을확률</t>
    <phoneticPr fontId="1" type="noConversion"/>
  </si>
  <si>
    <t>이벤트 단챠 샤리스 쳐먹을확률</t>
    <phoneticPr fontId="1" type="noConversion"/>
  </si>
  <si>
    <t>만상 단챠 샤리스 쳐먹을확률</t>
    <phoneticPr fontId="1" type="noConversion"/>
  </si>
  <si>
    <t>★☆★☆★☆★☆★☆★☆★☆★☆★☆★☆★☆★☆★☆★☆샤리스너새낀쫌뒤져라☆★☆★☆★☆★☆★☆★☆★☆★☆★☆★☆★☆★☆★☆★</t>
    <phoneticPr fontId="1" type="noConversion"/>
  </si>
  <si>
    <t>천장 횟수</t>
    <phoneticPr fontId="1" type="noConversion"/>
  </si>
  <si>
    <t>이벤트 단챠 빵슾 쳐먹을확률</t>
    <phoneticPr fontId="1" type="noConversion"/>
  </si>
  <si>
    <t>이벤트 단챠 리사/시온 쳐먹을확률</t>
    <phoneticPr fontId="1" type="noConversion"/>
  </si>
  <si>
    <t>확률보정 스택</t>
    <phoneticPr fontId="1" type="noConversion"/>
  </si>
  <si>
    <t>회 10연차 가동</t>
    <phoneticPr fontId="1" type="noConversion"/>
  </si>
  <si>
    <t>빵슾 쳐먹을확률</t>
    <phoneticPr fontId="1" type="noConversion"/>
  </si>
  <si>
    <t>리사/시온 쳐먹을확률</t>
    <phoneticPr fontId="1" type="noConversion"/>
  </si>
  <si>
    <t>아무거나 먹을 확률</t>
    <phoneticPr fontId="1" type="noConversion"/>
  </si>
  <si>
    <t>&lt;잘모름</t>
    <phoneticPr fontId="1" type="noConversion"/>
  </si>
  <si>
    <t>이벤트 단챠 쓰알로 리사/시온 쳐먹을확률</t>
    <phoneticPr fontId="1" type="noConversion"/>
  </si>
  <si>
    <t>이벤트 리사시온 SSR</t>
    <phoneticPr fontId="1" type="noConversion"/>
  </si>
  <si>
    <t>이벤트 리사시온 SR</t>
    <phoneticPr fontId="1" type="noConversion"/>
  </si>
  <si>
    <t>이벤트 리사시온 R</t>
    <phoneticPr fontId="1" type="noConversion"/>
  </si>
  <si>
    <t>이벤트 찐-빵 SSR</t>
    <phoneticPr fontId="1" type="noConversion"/>
  </si>
  <si>
    <t>이벤트 찐-빵 SR</t>
    <phoneticPr fontId="1" type="noConversion"/>
  </si>
  <si>
    <t>이벤트 찐-빵 R</t>
    <phoneticPr fontId="1" type="noConversion"/>
  </si>
  <si>
    <t>이벤트 단챠 쓰알 아무거나 쳐먹을확률</t>
    <phoneticPr fontId="1" type="noConversion"/>
  </si>
  <si>
    <t>이벤트 단챠 확업 아무거나 쳐먹을확률</t>
    <phoneticPr fontId="1" type="noConversion"/>
  </si>
  <si>
    <t>이벤트 단챠 빵슾 쓰알로 쳐먹을확률</t>
    <phoneticPr fontId="1" type="noConversion"/>
  </si>
  <si>
    <t>이 쓸데없고 부조리한 엑셀 찌끄레기는 윾동닉 갤럼이 싸고 간 똥입니다. 사용상에 있어서 발생할 수 있는 상해에 대해서 저작자는 책임을 지지 안ㄴㅅ슷스습니다.</t>
    <phoneticPr fontId="1" type="noConversion"/>
  </si>
  <si>
    <t>주황색 칸 안의 값을 바꿔 원하는 상황에서의 뽑기 확률을 얻을 수 있습니다. 너무 큰 값 넣지 마세요. 엑셀이 3일동안 얼어버리는 꼴 보기 싫으면</t>
    <phoneticPr fontId="1" type="noConversion"/>
  </si>
  <si>
    <t>주황색 칸 안의 값을 바꿔 원하는 상황에서의 뽑기 확률을 얻을 수 있습니다.</t>
    <phoneticPr fontId="1" type="noConversion"/>
  </si>
  <si>
    <t>가챠 모드</t>
    <phoneticPr fontId="1" type="noConversion"/>
  </si>
  <si>
    <t>시뮬레이션에 사용하는 10연차 방식을 바꿉니다.</t>
    <phoneticPr fontId="1" type="noConversion"/>
  </si>
  <si>
    <t>0 - 일반 혼부여 9회 + SR 풀 한정 혼부여 1회</t>
    <phoneticPr fontId="1" type="noConversion"/>
  </si>
  <si>
    <t>1 - 일반 혼부여 9회 + 이전 혼부여 중 SR이 존재할 경우 일반 혼부여 1회</t>
    <phoneticPr fontId="1" type="noConversion"/>
  </si>
  <si>
    <t xml:space="preserve">     존재하지 않을 경우 SR 풀 한정 혼부여 1회</t>
    <phoneticPr fontId="1" type="noConversion"/>
  </si>
  <si>
    <t>사용할 때 엑셀 매크로 사용을 켜야 돌아갑니다. VB 뉴비라 컴퓨터 '랜섬'할 실력도 안되니까 안심하고 매크로 켜라</t>
    <phoneticPr fontId="1" type="noConversion"/>
  </si>
  <si>
    <t>스도리과 마이너 갤러리는 뉴비 여러분을 환영할 수도 있고 아닐 수도 있습니다. ㅅ스도리과 갤런리는 여러분들의 혼부여 대박을 진심으로 기원합니다.</t>
    <phoneticPr fontId="1" type="noConversion"/>
  </si>
  <si>
    <t>v0.1</t>
    <phoneticPr fontId="1" type="noConversion"/>
  </si>
  <si>
    <t>편하게 이용하시면 됩니다만 이거 진짜 믿는 흑우업제</t>
    <phoneticPr fontId="1" type="noConversion"/>
  </si>
  <si>
    <t>저작권따위 있을리가없습니다</t>
    <phoneticPr fontId="1" type="noConversion"/>
  </si>
  <si>
    <t>까먹을가봐적어두는버그들</t>
    <phoneticPr fontId="1" type="noConversion"/>
  </si>
  <si>
    <t>가챠확률 너무높은거같은데?이정도였으면 벌써 3대장 다먹엇지 미친놈들아</t>
    <phoneticPr fontId="1" type="noConversion"/>
  </si>
  <si>
    <t>모드를 1로 설정하면 그래도 근사치에 가까운 상황이 나오는거같은데 저새끼 쓰니까 연산량이 두배로 뛰는듯</t>
    <phoneticPr fontId="1" type="noConversion"/>
  </si>
  <si>
    <t>굳이 그만큼 하지 않아도 10연차 시뮬 값이 늘어남에 따라 연산량과 프리징 시간이 기하급수적으로 늘어납니다.</t>
    <phoneticPr fontId="1" type="noConversion"/>
  </si>
  <si>
    <t>모드 0에서는 최소 13까지는 일단 버티는거같은데 연산시간이 라면끓일정도는 되는듯</t>
    <phoneticPr fontId="1" type="noConversion"/>
  </si>
  <si>
    <t>모드를 1로 설정하고 10연차 시뮬을 9회 이상으로 설정시키면 어디서 프로그램이 뻗어버립니다. 그냥 하지마</t>
    <phoneticPr fontId="1" type="noConversion"/>
  </si>
  <si>
    <t>미래의 제가 VSA를 열심히 공부해서 chainProb(…)와 shariceChance(…)의 연산 결과값을 캐시하는 식으로 업데이트를 해 줄 거 같은 느낌을 받음으로 인해 그것을 목표로 달려가면 우리는 ㅏㅂㄺ고 희망찬 미래를 건설할 수 있다 하는 것을 깨달을 수 있는 것입니다</t>
    <phoneticPr fontId="1" type="noConversion"/>
  </si>
  <si>
    <t>샤리스대가리깨버리고싶은췌장에혼부여시뮬레이터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</si>
</sst>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%"/>
    <numFmt numFmtId="178" formatCode="0.0000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i/>
      <sz val="11"/>
      <color theme="9" tint="-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medium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1" xfId="0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2" fillId="0" borderId="0" xfId="0" applyFont="1">
      <alignment vertical="center"/>
    </xf>
    <xf numFmtId="10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0" fillId="0" borderId="0" xfId="0" applyBorder="1">
      <alignment vertical="center"/>
    </xf>
    <xf numFmtId="178" fontId="0" fillId="0" borderId="0" xfId="0" applyNumberFormat="1" applyBorder="1">
      <alignment vertical="center"/>
    </xf>
    <xf numFmtId="0" fontId="0" fillId="0" borderId="0" xfId="0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top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16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0" fontId="0" fillId="0" borderId="18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7" xfId="0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0" fillId="2" borderId="26" xfId="0" applyFill="1" applyBorder="1">
      <alignment vertical="center"/>
    </xf>
    <xf numFmtId="0" fontId="3" fillId="0" borderId="28" xfId="0" applyFont="1" applyBorder="1" applyAlignment="1">
      <alignment horizontal="left" vertical="center"/>
    </xf>
    <xf numFmtId="0" fontId="0" fillId="0" borderId="32" xfId="0" applyBorder="1">
      <alignment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178" fontId="2" fillId="0" borderId="0" xfId="0" applyNumberFormat="1" applyFont="1" applyBorder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49"/>
  <sheetViews>
    <sheetView showGridLines="0" tabSelected="1" workbookViewId="0">
      <selection activeCell="R11" sqref="R11"/>
    </sheetView>
  </sheetViews>
  <sheetFormatPr defaultRowHeight="16.5" x14ac:dyDescent="0.3"/>
  <cols>
    <col min="18" max="18" width="9" customWidth="1"/>
  </cols>
  <sheetData>
    <row r="1" spans="2:18" ht="17.25" thickBot="1" x14ac:dyDescent="0.35"/>
    <row r="2" spans="2:18" ht="18" thickTop="1" thickBot="1" x14ac:dyDescent="0.35">
      <c r="B2" s="42" t="s">
        <v>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  <c r="Q2" s="50" t="s">
        <v>41</v>
      </c>
      <c r="R2" s="5" t="s">
        <v>42</v>
      </c>
    </row>
    <row r="3" spans="2:18" ht="17.25" thickTop="1" x14ac:dyDescent="0.3">
      <c r="B3" s="45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46"/>
      <c r="Q3" s="54">
        <v>1</v>
      </c>
      <c r="R3" s="5" t="s">
        <v>43</v>
      </c>
    </row>
    <row r="4" spans="2:18" ht="17.25" thickBot="1" x14ac:dyDescent="0.35">
      <c r="B4" s="45"/>
      <c r="C4" s="14"/>
      <c r="D4" s="14"/>
      <c r="E4" s="14"/>
      <c r="F4" s="14"/>
      <c r="G4" s="14"/>
      <c r="H4" s="14"/>
      <c r="I4" s="47"/>
      <c r="J4" s="47"/>
      <c r="K4" s="47"/>
      <c r="L4" s="47"/>
      <c r="M4" s="47"/>
      <c r="N4" s="47"/>
      <c r="O4" s="48"/>
      <c r="Q4" s="55"/>
      <c r="R4" s="5" t="s">
        <v>44</v>
      </c>
    </row>
    <row r="5" spans="2:18" ht="18" thickTop="1" thickBot="1" x14ac:dyDescent="0.35">
      <c r="B5" s="51" t="str">
        <f>CONCATENATE(B37," ",G37)</f>
        <v>샤리스대가리깨버리고싶은췌장에혼부여시뮬레이터 v0.1</v>
      </c>
      <c r="C5" s="52"/>
      <c r="D5" s="52"/>
      <c r="E5" s="52"/>
      <c r="F5" s="52"/>
      <c r="G5" s="52"/>
      <c r="H5" s="53"/>
      <c r="I5" s="10"/>
      <c r="J5" s="10"/>
      <c r="K5" s="10"/>
      <c r="L5" s="10"/>
      <c r="Q5" s="8"/>
      <c r="R5" s="49" t="s">
        <v>45</v>
      </c>
    </row>
    <row r="6" spans="2:18" ht="18" thickTop="1" thickBot="1" x14ac:dyDescent="0.35">
      <c r="Q6" s="8"/>
      <c r="R6" s="9"/>
    </row>
    <row r="7" spans="2:18" ht="18" thickTop="1" thickBot="1" x14ac:dyDescent="0.35">
      <c r="B7" s="16" t="s">
        <v>17</v>
      </c>
      <c r="C7" s="17"/>
      <c r="D7" s="18"/>
      <c r="E7" s="19" t="s">
        <v>16</v>
      </c>
      <c r="F7" s="17"/>
      <c r="G7" s="18"/>
      <c r="H7" s="19" t="s">
        <v>5</v>
      </c>
      <c r="I7" s="17"/>
      <c r="J7" s="17"/>
      <c r="K7" s="18"/>
      <c r="L7" s="19" t="s">
        <v>15</v>
      </c>
      <c r="M7" s="17"/>
      <c r="N7" s="17"/>
      <c r="O7" s="20"/>
      <c r="Q7" s="8"/>
      <c r="R7" s="9"/>
    </row>
    <row r="8" spans="2:18" ht="18" thickTop="1" thickBot="1" x14ac:dyDescent="0.35">
      <c r="B8" s="21">
        <f>D20+D21</f>
        <v>2.5000000000000001E-3</v>
      </c>
      <c r="C8" s="22"/>
      <c r="D8" s="23"/>
      <c r="E8" s="24">
        <f>D22+D23</f>
        <v>1.2999999999999999E-3</v>
      </c>
      <c r="F8" s="22"/>
      <c r="G8" s="23"/>
      <c r="H8" s="24">
        <f ca="1">shariceChance(D21, D20, 0, H26)</f>
        <v>2.6740287182386462E-2</v>
      </c>
      <c r="I8" s="22"/>
      <c r="J8" s="22"/>
      <c r="K8" s="23"/>
      <c r="L8" s="24">
        <f ca="1">shariceChance(D23, D22, 0, L26, FALSE, L24, B10, L28)</f>
        <v>1.5095231921736082E-2</v>
      </c>
      <c r="M8" s="22"/>
      <c r="N8" s="22"/>
      <c r="O8" s="25"/>
      <c r="Q8" s="8"/>
      <c r="R8" s="9"/>
    </row>
    <row r="9" spans="2:18" ht="18" thickTop="1" thickBot="1" x14ac:dyDescent="0.35">
      <c r="Q9" s="8"/>
      <c r="R9" s="9"/>
    </row>
    <row r="10" spans="2:18" ht="18" thickTop="1" thickBot="1" x14ac:dyDescent="0.35">
      <c r="B10" s="39">
        <v>0</v>
      </c>
      <c r="C10" s="40" t="s">
        <v>22</v>
      </c>
      <c r="D10" s="37"/>
      <c r="E10" s="5" t="s">
        <v>40</v>
      </c>
      <c r="O10" s="8"/>
      <c r="R10" s="9"/>
    </row>
    <row r="11" spans="2:18" ht="18" thickTop="1" thickBot="1" x14ac:dyDescent="0.35">
      <c r="B11" s="36" t="s">
        <v>35</v>
      </c>
      <c r="C11" s="31"/>
      <c r="D11" s="31"/>
      <c r="E11" s="18"/>
      <c r="F11" s="19" t="s">
        <v>37</v>
      </c>
      <c r="G11" s="17"/>
      <c r="H11" s="17"/>
      <c r="I11" s="18"/>
      <c r="J11" s="19" t="s">
        <v>28</v>
      </c>
      <c r="K11" s="17"/>
      <c r="L11" s="17"/>
      <c r="M11" s="20"/>
      <c r="N11" s="41"/>
      <c r="O11" s="8"/>
      <c r="R11" s="9"/>
    </row>
    <row r="12" spans="2:18" ht="18" thickTop="1" thickBot="1" x14ac:dyDescent="0.35">
      <c r="B12" s="32">
        <f ca="1">F12+J12+J12</f>
        <v>1.2500000000000001E-2</v>
      </c>
      <c r="C12" s="3"/>
      <c r="D12" s="3"/>
      <c r="E12" s="4"/>
      <c r="F12" s="2">
        <f ca="1">cc(D25, B10, L28)</f>
        <v>7.4999999999999997E-3</v>
      </c>
      <c r="G12" s="3"/>
      <c r="H12" s="3"/>
      <c r="I12" s="4"/>
      <c r="J12" s="2">
        <f ca="1">cc(D28,B10,L28)</f>
        <v>2.5000000000000001E-3</v>
      </c>
      <c r="K12" s="3"/>
      <c r="L12" s="3"/>
      <c r="M12" s="33"/>
      <c r="N12" s="41"/>
      <c r="O12" s="8"/>
      <c r="R12" s="9"/>
    </row>
    <row r="13" spans="2:18" ht="17.25" thickBot="1" x14ac:dyDescent="0.35">
      <c r="B13" s="34" t="s">
        <v>36</v>
      </c>
      <c r="C13" s="12"/>
      <c r="D13" s="12"/>
      <c r="E13" s="13"/>
      <c r="F13" s="11" t="s">
        <v>20</v>
      </c>
      <c r="G13" s="12"/>
      <c r="H13" s="12"/>
      <c r="I13" s="13"/>
      <c r="J13" s="11" t="s">
        <v>21</v>
      </c>
      <c r="K13" s="12"/>
      <c r="L13" s="12"/>
      <c r="M13" s="35"/>
      <c r="N13" s="41"/>
      <c r="O13" s="8"/>
      <c r="R13" s="9"/>
    </row>
    <row r="14" spans="2:18" ht="18" thickTop="1" thickBot="1" x14ac:dyDescent="0.35">
      <c r="B14" s="21">
        <f ca="1">F14+J14+J14</f>
        <v>2.2499999999999999E-2</v>
      </c>
      <c r="C14" s="22"/>
      <c r="D14" s="22"/>
      <c r="E14" s="23"/>
      <c r="F14" s="24">
        <f ca="1">cc(D25+D26+D27, B10, L28)</f>
        <v>7.4999999999999997E-3</v>
      </c>
      <c r="G14" s="22"/>
      <c r="H14" s="22"/>
      <c r="I14" s="23"/>
      <c r="J14" s="24">
        <f ca="1">cc(D28,B10,L28)+D30+D29</f>
        <v>7.5000000000000006E-3</v>
      </c>
      <c r="K14" s="22"/>
      <c r="L14" s="22"/>
      <c r="M14" s="25"/>
    </row>
    <row r="15" spans="2:18" ht="18" thickTop="1" thickBot="1" x14ac:dyDescent="0.35"/>
    <row r="16" spans="2:18" ht="18" thickTop="1" thickBot="1" x14ac:dyDescent="0.35">
      <c r="B16" s="39">
        <v>2</v>
      </c>
      <c r="C16" s="40" t="s">
        <v>23</v>
      </c>
      <c r="D16" s="37"/>
      <c r="E16" s="5" t="s">
        <v>39</v>
      </c>
    </row>
    <row r="17" spans="2:15" ht="18" thickTop="1" thickBot="1" x14ac:dyDescent="0.35">
      <c r="B17" s="36" t="s">
        <v>24</v>
      </c>
      <c r="C17" s="31"/>
      <c r="D17" s="38"/>
      <c r="E17" s="19" t="s">
        <v>25</v>
      </c>
      <c r="F17" s="17"/>
      <c r="G17" s="18"/>
      <c r="H17" s="19" t="s">
        <v>26</v>
      </c>
      <c r="I17" s="17"/>
      <c r="J17" s="20"/>
    </row>
    <row r="18" spans="2:15" ht="18" thickTop="1" thickBot="1" x14ac:dyDescent="0.35">
      <c r="B18" s="26">
        <f ca="1">eventInfuse(B16, D27, D26, D25, D28*2, L26, L28)</f>
        <v>0.29162701518408024</v>
      </c>
      <c r="C18" s="27"/>
      <c r="D18" s="28"/>
      <c r="E18" s="29">
        <f ca="1">eventInfuse(B16, D30, D29, D28, D25+D28, L26, L28)</f>
        <v>0.2017901756844431</v>
      </c>
      <c r="F18" s="27"/>
      <c r="G18" s="28"/>
      <c r="H18" s="29">
        <f ca="1">eventInfuse(B16, D30*2+D27, D29*2+D26, D25+D28*2, 0, L26, L28)</f>
        <v>0.56553025847335636</v>
      </c>
      <c r="I18" s="27"/>
      <c r="J18" s="30"/>
    </row>
    <row r="19" spans="2:15" ht="17.25" thickTop="1" x14ac:dyDescent="0.3"/>
    <row r="20" spans="2:15" x14ac:dyDescent="0.3">
      <c r="B20" s="5" t="s">
        <v>0</v>
      </c>
      <c r="C20" s="5"/>
      <c r="D20" s="6">
        <v>5.0000000000000001E-4</v>
      </c>
      <c r="E20" s="5"/>
      <c r="F20" s="5" t="s">
        <v>2</v>
      </c>
      <c r="G20" s="5">
        <v>10</v>
      </c>
      <c r="H20" s="6">
        <f>0.0005*G20</f>
        <v>5.0000000000000001E-3</v>
      </c>
      <c r="I20" s="5"/>
      <c r="J20" s="5" t="s">
        <v>10</v>
      </c>
      <c r="K20" s="5"/>
      <c r="L20" s="5">
        <v>8</v>
      </c>
    </row>
    <row r="21" spans="2:15" x14ac:dyDescent="0.3">
      <c r="B21" s="5" t="s">
        <v>1</v>
      </c>
      <c r="C21" s="5"/>
      <c r="D21" s="6">
        <v>2E-3</v>
      </c>
      <c r="E21" s="5"/>
      <c r="F21" s="5" t="s">
        <v>3</v>
      </c>
      <c r="G21" s="5">
        <v>8</v>
      </c>
      <c r="H21" s="6">
        <f>0.0025*G21</f>
        <v>0.02</v>
      </c>
      <c r="I21" s="5"/>
      <c r="J21" s="5" t="s">
        <v>11</v>
      </c>
      <c r="K21" s="5"/>
      <c r="L21" s="5">
        <v>8</v>
      </c>
    </row>
    <row r="22" spans="2:15" x14ac:dyDescent="0.3">
      <c r="B22" s="5" t="s">
        <v>8</v>
      </c>
      <c r="C22" s="5"/>
      <c r="D22" s="6">
        <v>2.9999999999999997E-4</v>
      </c>
      <c r="E22" s="5"/>
      <c r="F22" s="5" t="s">
        <v>4</v>
      </c>
      <c r="G22" s="5">
        <v>10</v>
      </c>
      <c r="H22" s="6">
        <f>0.005*G22</f>
        <v>0.05</v>
      </c>
      <c r="I22" s="5"/>
      <c r="J22" s="5" t="s">
        <v>12</v>
      </c>
      <c r="K22" s="5"/>
      <c r="L22" s="5">
        <v>10</v>
      </c>
    </row>
    <row r="23" spans="2:15" x14ac:dyDescent="0.3">
      <c r="B23" s="5" t="s">
        <v>9</v>
      </c>
      <c r="C23" s="5"/>
      <c r="D23" s="6">
        <v>1E-3</v>
      </c>
      <c r="E23" s="5"/>
      <c r="F23" s="5"/>
      <c r="G23" s="5"/>
      <c r="H23" s="6"/>
      <c r="I23" s="5"/>
      <c r="J23" s="5"/>
      <c r="K23" s="5"/>
      <c r="L23" s="5"/>
    </row>
    <row r="24" spans="2:15" x14ac:dyDescent="0.3">
      <c r="B24" s="5"/>
      <c r="C24" s="6"/>
      <c r="D24" s="5"/>
      <c r="E24" s="5"/>
      <c r="F24" s="5" t="s">
        <v>7</v>
      </c>
      <c r="G24" s="5"/>
      <c r="H24" s="6">
        <f>0.0005/(H20+H21+H22)</f>
        <v>6.6666666666666662E-3</v>
      </c>
      <c r="I24" s="5"/>
      <c r="J24" s="5" t="s">
        <v>13</v>
      </c>
      <c r="K24" s="5"/>
      <c r="L24" s="6">
        <f>0.001*2+D28*2+D25</f>
        <v>1.4499999999999999E-2</v>
      </c>
    </row>
    <row r="25" spans="2:15" x14ac:dyDescent="0.3">
      <c r="B25" s="5" t="s">
        <v>32</v>
      </c>
      <c r="C25" s="6"/>
      <c r="D25" s="6">
        <v>7.4999999999999997E-3</v>
      </c>
      <c r="E25" s="5"/>
      <c r="F25" s="5"/>
      <c r="G25" s="5"/>
      <c r="H25" s="5"/>
      <c r="I25" s="5"/>
      <c r="J25" s="5"/>
      <c r="K25" s="5"/>
      <c r="L25" s="5"/>
      <c r="N25" s="15"/>
      <c r="O25" s="15"/>
    </row>
    <row r="26" spans="2:15" x14ac:dyDescent="0.3">
      <c r="B26" s="5" t="s">
        <v>33</v>
      </c>
      <c r="D26" s="6">
        <v>0</v>
      </c>
      <c r="E26" s="5"/>
      <c r="F26" s="5" t="s">
        <v>6</v>
      </c>
      <c r="G26" s="5"/>
      <c r="H26" s="6">
        <f>H20+H21+H22</f>
        <v>7.5000000000000011E-2</v>
      </c>
      <c r="I26" s="5"/>
      <c r="J26" s="5" t="s">
        <v>14</v>
      </c>
      <c r="K26" s="5"/>
      <c r="L26" s="6">
        <f>L20*0.0003+L21*0.0015+L22*0.003+L24</f>
        <v>5.8899999999999994E-2</v>
      </c>
      <c r="N26" s="15"/>
      <c r="O26" s="15"/>
    </row>
    <row r="27" spans="2:15" x14ac:dyDescent="0.3">
      <c r="B27" s="5" t="s">
        <v>34</v>
      </c>
      <c r="D27" s="6">
        <v>0</v>
      </c>
    </row>
    <row r="28" spans="2:15" x14ac:dyDescent="0.3">
      <c r="B28" s="5" t="s">
        <v>29</v>
      </c>
      <c r="C28" s="7"/>
      <c r="D28" s="6">
        <v>2.5000000000000001E-3</v>
      </c>
      <c r="J28" s="5" t="s">
        <v>19</v>
      </c>
      <c r="K28" s="5"/>
      <c r="L28" s="5">
        <v>12</v>
      </c>
      <c r="M28" s="5" t="s">
        <v>27</v>
      </c>
    </row>
    <row r="29" spans="2:15" x14ac:dyDescent="0.3">
      <c r="B29" s="5" t="s">
        <v>30</v>
      </c>
      <c r="D29" s="6">
        <v>1E-3</v>
      </c>
    </row>
    <row r="30" spans="2:15" x14ac:dyDescent="0.3">
      <c r="B30" s="5" t="s">
        <v>31</v>
      </c>
      <c r="C30" s="1"/>
      <c r="D30" s="6">
        <v>4.0000000000000001E-3</v>
      </c>
    </row>
    <row r="32" spans="2:15" x14ac:dyDescent="0.3">
      <c r="B32" s="5" t="s">
        <v>38</v>
      </c>
    </row>
    <row r="33" spans="2:7" x14ac:dyDescent="0.3">
      <c r="B33" s="5" t="s">
        <v>47</v>
      </c>
    </row>
    <row r="34" spans="2:7" x14ac:dyDescent="0.3">
      <c r="B34" s="5" t="s">
        <v>46</v>
      </c>
    </row>
    <row r="37" spans="2:7" x14ac:dyDescent="0.3">
      <c r="B37" s="5" t="s">
        <v>58</v>
      </c>
      <c r="G37" s="5" t="s">
        <v>48</v>
      </c>
    </row>
    <row r="38" spans="2:7" x14ac:dyDescent="0.3">
      <c r="B38" s="5" t="s">
        <v>49</v>
      </c>
    </row>
    <row r="39" spans="2:7" x14ac:dyDescent="0.3">
      <c r="B39" s="5" t="s">
        <v>50</v>
      </c>
    </row>
    <row r="42" spans="2:7" x14ac:dyDescent="0.3">
      <c r="B42" s="5" t="s">
        <v>51</v>
      </c>
    </row>
    <row r="44" spans="2:7" x14ac:dyDescent="0.3">
      <c r="B44" s="5" t="s">
        <v>56</v>
      </c>
    </row>
    <row r="45" spans="2:7" x14ac:dyDescent="0.3">
      <c r="B45" s="5" t="s">
        <v>55</v>
      </c>
    </row>
    <row r="46" spans="2:7" x14ac:dyDescent="0.3">
      <c r="B46" s="5" t="s">
        <v>54</v>
      </c>
    </row>
    <row r="47" spans="2:7" x14ac:dyDescent="0.3">
      <c r="B47" s="5" t="s">
        <v>52</v>
      </c>
    </row>
    <row r="48" spans="2:7" x14ac:dyDescent="0.3">
      <c r="B48" s="5" t="s">
        <v>53</v>
      </c>
    </row>
    <row r="49" spans="2:2" x14ac:dyDescent="0.3">
      <c r="B49" s="5" t="s">
        <v>57</v>
      </c>
    </row>
  </sheetData>
  <mergeCells count="31">
    <mergeCell ref="Q3:Q4"/>
    <mergeCell ref="B5:H5"/>
    <mergeCell ref="B17:D17"/>
    <mergeCell ref="B18:D18"/>
    <mergeCell ref="H17:J17"/>
    <mergeCell ref="H18:J18"/>
    <mergeCell ref="B11:E11"/>
    <mergeCell ref="B12:E12"/>
    <mergeCell ref="F13:I13"/>
    <mergeCell ref="F14:I14"/>
    <mergeCell ref="B13:E13"/>
    <mergeCell ref="B14:E14"/>
    <mergeCell ref="F11:I11"/>
    <mergeCell ref="F12:I12"/>
    <mergeCell ref="J11:M11"/>
    <mergeCell ref="J12:M12"/>
    <mergeCell ref="J13:M13"/>
    <mergeCell ref="J14:M14"/>
    <mergeCell ref="C10:D10"/>
    <mergeCell ref="C16:D16"/>
    <mergeCell ref="E7:G7"/>
    <mergeCell ref="E8:G8"/>
    <mergeCell ref="B2:O4"/>
    <mergeCell ref="L7:O7"/>
    <mergeCell ref="L8:O8"/>
    <mergeCell ref="H7:K7"/>
    <mergeCell ref="H8:K8"/>
    <mergeCell ref="B7:D7"/>
    <mergeCell ref="B8:D8"/>
    <mergeCell ref="E17:G17"/>
    <mergeCell ref="E18:G1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Main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</cp:lastModifiedBy>
  <dcterms:created xsi:type="dcterms:W3CDTF">2018-08-08T22:29:48Z</dcterms:created>
  <dcterms:modified xsi:type="dcterms:W3CDTF">2018-08-09T15:20:58Z</dcterms:modified>
</cp:coreProperties>
</file>